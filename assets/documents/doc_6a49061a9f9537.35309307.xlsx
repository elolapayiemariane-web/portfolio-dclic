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881AD5E-7364-4762-9810-7FF748C859DA}" xr6:coauthVersionLast="47" xr6:coauthVersionMax="47" xr10:uidLastSave="{00000000-0000-0000-0000-000000000000}"/>
  <bookViews>
    <workbookView xWindow="204" yWindow="1080" windowWidth="17280" windowHeight="11160" tabRatio="500" activeTab="1" xr2:uid="{00000000-000D-0000-FFFF-FFFF00000000}"/>
  </bookViews>
  <sheets>
    <sheet name="Hypotheses" sheetId="1" r:id="rId1"/>
    <sheet name="Bilan_Puissance" sheetId="2" r:id="rId2"/>
    <sheet name="Bilan_Dispersion" sheetId="3" r:id="rId3"/>
    <sheet name="Synthese" sheetId="4" r:id="rId4"/>
    <sheet name="Sensibilite" sheetId="5" r:id="rId5"/>
  </sheets>
  <externalReferences>
    <externalReference r:id="rId6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20" i="2"/>
  <c r="B6" i="2"/>
  <c r="B4" i="2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B11" i="4"/>
  <c r="B12" i="3"/>
  <c r="B14" i="3" s="1"/>
  <c r="B11" i="3"/>
  <c r="B7" i="3"/>
  <c r="B8" i="3" s="1"/>
  <c r="B6" i="4" s="1"/>
  <c r="B4" i="3"/>
  <c r="B5" i="3" s="1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B8" i="2"/>
  <c r="B9" i="2" s="1"/>
  <c r="B7" i="2" l="1"/>
  <c r="B10" i="2" s="1"/>
  <c r="B4" i="4" s="1"/>
  <c r="B50" i="2"/>
  <c r="B42" i="2"/>
  <c r="B34" i="2"/>
  <c r="B26" i="2"/>
  <c r="B40" i="2"/>
  <c r="B32" i="2"/>
  <c r="B51" i="2"/>
  <c r="B47" i="2"/>
  <c r="B43" i="2"/>
  <c r="B39" i="2"/>
  <c r="B35" i="2"/>
  <c r="B31" i="2"/>
  <c r="B27" i="2"/>
  <c r="B23" i="2"/>
  <c r="B14" i="2"/>
  <c r="B15" i="2" s="1"/>
  <c r="B16" i="2" s="1"/>
  <c r="B46" i="2"/>
  <c r="B38" i="2"/>
  <c r="B30" i="2"/>
  <c r="B22" i="2"/>
  <c r="B44" i="2"/>
  <c r="B28" i="2"/>
  <c r="B49" i="2"/>
  <c r="B45" i="2"/>
  <c r="B41" i="2"/>
  <c r="B37" i="2"/>
  <c r="B33" i="2"/>
  <c r="B29" i="2"/>
  <c r="B25" i="2"/>
  <c r="B21" i="2"/>
  <c r="B52" i="2"/>
  <c r="B48" i="2"/>
  <c r="B36" i="2"/>
  <c r="B24" i="2"/>
  <c r="B6" i="3"/>
  <c r="B5" i="4" s="1"/>
  <c r="C5" i="4" s="1"/>
  <c r="B13" i="3"/>
  <c r="C6" i="4"/>
  <c r="C4" i="4" l="1"/>
  <c r="B8" i="4"/>
  <c r="B12" i="4" s="1"/>
  <c r="B13" i="4" l="1"/>
</calcChain>
</file>

<file path=xl/sharedStrings.xml><?xml version="1.0" encoding="utf-8"?>
<sst xmlns="http://schemas.openxmlformats.org/spreadsheetml/2006/main" count="144" uniqueCount="108">
  <si>
    <t>Hypothèses du scénario — Liaison Dakar-Thiès (G.652.D, 1550 nm, 10 Gbit/s)</t>
  </si>
  <si>
    <t>Paramètre</t>
  </si>
  <si>
    <t>Valeur</t>
  </si>
  <si>
    <t>Unité</t>
  </si>
  <si>
    <t>Source / Commentaire</t>
  </si>
  <si>
    <t>dBm</t>
  </si>
  <si>
    <t>Section III.1 — émetteur</t>
  </si>
  <si>
    <t>Section III.1 — récepteur</t>
  </si>
  <si>
    <t>dB/km</t>
  </si>
  <si>
    <t>Section II.4</t>
  </si>
  <si>
    <t>Nombre de connecteurs</t>
  </si>
  <si>
    <t>-</t>
  </si>
  <si>
    <t>2 paires aux extrémités</t>
  </si>
  <si>
    <t>dB</t>
  </si>
  <si>
    <t>Section III.1</t>
  </si>
  <si>
    <t>km</t>
  </si>
  <si>
    <t>raccordement bobines</t>
  </si>
  <si>
    <t>ps/(nm.km)</t>
  </si>
  <si>
    <t>nm</t>
  </si>
  <si>
    <t>Gbit/s</t>
  </si>
  <si>
    <t>Section III.2</t>
  </si>
  <si>
    <t>ps/sqrt(km)</t>
  </si>
  <si>
    <t>Cas d'application</t>
  </si>
  <si>
    <t>Bilan de puissance (Section III.1)</t>
  </si>
  <si>
    <t>Grandeur</t>
  </si>
  <si>
    <t>Formule</t>
  </si>
  <si>
    <t>Budget propagation (Budget - Pertes fixes)</t>
  </si>
  <si>
    <t>Vérification sur le scénario Dakar-Thiès (L = 65 km)</t>
  </si>
  <si>
    <t>Atténuation totale (alpha_eff*L + Pertes_fixes)</t>
  </si>
  <si>
    <t>Puissance reçue (Pe - Atténuation totale)</t>
  </si>
  <si>
    <t>Marge résiduelle (P_recue - Pr_min)</t>
  </si>
  <si>
    <t>Puissance reçue en fonction de la distance</t>
  </si>
  <si>
    <t>L (km)</t>
  </si>
  <si>
    <t>P_recue(L) (dBm)</t>
  </si>
  <si>
    <t>Pr_min (dBm)</t>
  </si>
  <si>
    <t>Bilan de dispersion (Section III.2)</t>
  </si>
  <si>
    <t>Formule / Note</t>
  </si>
  <si>
    <t>ps</t>
  </si>
  <si>
    <t>Elargissement CD réel = D*L*dlambda</t>
  </si>
  <si>
    <t>Elargissement PMD réel = PMD_coeff*sqrt(L)</t>
  </si>
  <si>
    <t>PMD respecte le critère T/10 ?</t>
  </si>
  <si>
    <t>Synthèse — Portée maximale sans régénération (Section III.3)</t>
  </si>
  <si>
    <t>Contrainte</t>
  </si>
  <si>
    <t>Portée calculée (km)</t>
  </si>
  <si>
    <t>Facteur limitant ?</t>
  </si>
  <si>
    <t>Atténuation (bilan de puissance)</t>
  </si>
  <si>
    <t>Dispersion chromatique</t>
  </si>
  <si>
    <t>PMD</t>
  </si>
  <si>
    <t>Portée maximale L_max = min(L_att, L_CD, L_PMD)</t>
  </si>
  <si>
    <t>Comparaison avec le scénario Dakar-Thiès</t>
  </si>
  <si>
    <t>Longueur de la liaison étudiée (L_scenario)</t>
  </si>
  <si>
    <t>Marge sur la portée (L_max - L_scenario)</t>
  </si>
  <si>
    <t>Liaison faisable sans régénération ?</t>
  </si>
  <si>
    <t>Analyse de sensibilité — impact des paramètres sur la portée</t>
  </si>
  <si>
    <t>Variation d'un paramètre à la fois autour du cas de base (G.652.D, Pe=3 dBm, Pr_min=-28 dBm, Msys=3 dB, D=17 ps/(nm.km), dlambda=0.01 nm, B=10 Gbit/s)</t>
  </si>
  <si>
    <t>Paramètre varié</t>
  </si>
  <si>
    <t>alpha (dB/km)</t>
  </si>
  <si>
    <t>D (ps/nm.km)</t>
  </si>
  <si>
    <t>L_att (km)</t>
  </si>
  <si>
    <t>L_CD (km)</t>
  </si>
  <si>
    <t>Type de fibre — G.652 / G.657</t>
  </si>
  <si>
    <t>alpha=0.20, D=17</t>
  </si>
  <si>
    <t>Type de fibre — G.655 (NZDSF)</t>
  </si>
  <si>
    <t>alpha=0.20, D=4</t>
  </si>
  <si>
    <t>Type de fibre — G.957 (SDH)</t>
  </si>
  <si>
    <t>alpha=0.25, D=17</t>
  </si>
  <si>
    <t>Marge système Msys = 1 dB</t>
  </si>
  <si>
    <t>alpha=0.20, D=17, Msys=1</t>
  </si>
  <si>
    <t>Marge système Msys = 5 dB</t>
  </si>
  <si>
    <t>alpha=0.20, D=17, Msys=5</t>
  </si>
  <si>
    <t>Source — laser DFB (dlambda=0,01 nm)</t>
  </si>
  <si>
    <t>dlambda=0.01</t>
  </si>
  <si>
    <t>Source — laser FP (dlambda=1 nm)</t>
  </si>
  <si>
    <t>dlambda_alt=1</t>
  </si>
  <si>
    <t>Source — DEL (dlambda=2 nm)</t>
  </si>
  <si>
    <t>dlambda_alt=2</t>
  </si>
  <si>
    <t>Débit B = 2,5 Gbit/s</t>
  </si>
  <si>
    <t>B=2.5</t>
  </si>
  <si>
    <t>Débit B = 10 Gbit/s</t>
  </si>
  <si>
    <t>B=10</t>
  </si>
  <si>
    <t>Débit B = 40 Gbit/s</t>
  </si>
  <si>
    <t>B=40</t>
  </si>
  <si>
    <t>Note : avec Delta-lambda = 0,01 nm (corrige), la G.655 (D=4) donne L_CD ~ 625 km, conforme au tableau comparatif du rapport. La valeur 'Delta-lambda = 0,1 nm' indiquee dans le texte (sections II.5 et III.2) est une coquille a corriger en 0,01 nm : c'est la valeur effectivement utilisee dans tous les calculs de L_CD du rapport (147 km, 625 km, etc.).</t>
  </si>
  <si>
    <t>Pertes connecteurs (αconn)</t>
  </si>
  <si>
    <t>Pertes_fixes (αconn + M_sys )</t>
  </si>
  <si>
    <r>
      <rPr>
        <b/>
        <sz val="11"/>
        <color theme="1"/>
        <rFont val="Arial"/>
        <family val="2"/>
      </rPr>
      <t xml:space="preserve">Pé </t>
    </r>
    <r>
      <rPr>
        <sz val="11"/>
        <color theme="1"/>
        <rFont val="Arial"/>
        <charset val="1"/>
      </rPr>
      <t xml:space="preserve">: puissance optique émise par la source laser </t>
    </r>
  </si>
  <si>
    <r>
      <rPr>
        <b/>
        <sz val="11"/>
        <color theme="1"/>
        <rFont val="Arial"/>
        <family val="2"/>
      </rPr>
      <t>Prmin</t>
    </r>
    <r>
      <rPr>
        <sz val="11"/>
        <color theme="1"/>
        <rFont val="Arial"/>
        <charset val="1"/>
      </rPr>
      <t xml:space="preserve"> : sensibilité minimale du récepteur</t>
    </r>
  </si>
  <si>
    <r>
      <rPr>
        <b/>
        <sz val="11"/>
        <color theme="1"/>
        <rFont val="Arial"/>
        <family val="2"/>
      </rPr>
      <t>αeff</t>
    </r>
    <r>
      <rPr>
        <sz val="11"/>
        <color theme="1"/>
        <rFont val="Arial"/>
        <charset val="1"/>
      </rPr>
      <t>: Atténuation linéique fibre</t>
    </r>
  </si>
  <si>
    <r>
      <rPr>
        <b/>
        <sz val="11"/>
        <color theme="1"/>
        <rFont val="Arial"/>
        <family val="2"/>
      </rPr>
      <t>αconn</t>
    </r>
    <r>
      <rPr>
        <sz val="11"/>
        <color theme="1"/>
        <rFont val="Arial"/>
        <charset val="1"/>
      </rPr>
      <t xml:space="preserve"> : Perte par connecteur</t>
    </r>
  </si>
  <si>
    <r>
      <rPr>
        <b/>
        <sz val="11"/>
        <color theme="1"/>
        <rFont val="Arial"/>
        <family val="2"/>
      </rPr>
      <t>Msys</t>
    </r>
    <r>
      <rPr>
        <sz val="11"/>
        <color theme="1"/>
        <rFont val="Arial"/>
        <charset val="1"/>
      </rPr>
      <t xml:space="preserve"> : marge système réservée pour le vieillissement et la maintenance </t>
    </r>
  </si>
  <si>
    <r>
      <rPr>
        <b/>
        <sz val="11"/>
        <color theme="1"/>
        <rFont val="Arial"/>
        <family val="2"/>
      </rPr>
      <t>L</t>
    </r>
    <r>
      <rPr>
        <sz val="11"/>
        <color theme="1"/>
        <rFont val="Arial"/>
        <charset val="1"/>
      </rPr>
      <t xml:space="preserve"> : longueur de la liaison </t>
    </r>
  </si>
  <si>
    <r>
      <rPr>
        <b/>
        <sz val="11"/>
        <color theme="1"/>
        <rFont val="Arial"/>
        <family val="2"/>
      </rPr>
      <t>α_ép</t>
    </r>
    <r>
      <rPr>
        <sz val="11"/>
        <color theme="1"/>
        <rFont val="Arial"/>
        <charset val="1"/>
      </rPr>
      <t xml:space="preserve"> : Perte par épissure</t>
    </r>
  </si>
  <si>
    <r>
      <rPr>
        <b/>
        <sz val="11"/>
        <color theme="1"/>
        <rFont val="Arial"/>
        <family val="2"/>
      </rPr>
      <t>d_ép</t>
    </r>
    <r>
      <rPr>
        <sz val="11"/>
        <color theme="1"/>
        <rFont val="Arial"/>
        <charset val="1"/>
      </rPr>
      <t xml:space="preserve"> : Distance entre épissures</t>
    </r>
  </si>
  <si>
    <r>
      <rPr>
        <b/>
        <sz val="11"/>
        <color theme="1"/>
        <rFont val="Arial"/>
        <family val="2"/>
      </rPr>
      <t>α_ép_km</t>
    </r>
    <r>
      <rPr>
        <sz val="11"/>
        <color theme="1"/>
        <rFont val="Arial"/>
        <family val="2"/>
      </rPr>
      <t xml:space="preserve"> : Atténuation équivalente épissures (α_ép/d_ép)</t>
    </r>
  </si>
  <si>
    <r>
      <rPr>
        <b/>
        <sz val="11"/>
        <color theme="1"/>
        <rFont val="Arial"/>
        <family val="2"/>
      </rPr>
      <t>α_eff</t>
    </r>
    <r>
      <rPr>
        <sz val="11"/>
        <color theme="1"/>
        <rFont val="Arial"/>
        <family val="2"/>
      </rPr>
      <t>: Atténuation linéique effective (α + α_ép_km )</t>
    </r>
  </si>
  <si>
    <r>
      <rPr>
        <b/>
        <sz val="11"/>
        <color theme="1"/>
        <rFont val="Arial"/>
        <family val="2"/>
      </rPr>
      <t>L_att</t>
    </r>
    <r>
      <rPr>
        <sz val="11"/>
        <color theme="1"/>
        <rFont val="Arial"/>
        <charset val="1"/>
      </rPr>
      <t xml:space="preserve"> : Portée maximale limitée par l'atténuation (Budget propagation/α_eff )</t>
    </r>
  </si>
  <si>
    <t>Budget (Pé - Pr_min)</t>
  </si>
  <si>
    <r>
      <rPr>
        <b/>
        <sz val="11"/>
        <color theme="1"/>
        <rFont val="Arial"/>
        <family val="2"/>
      </rPr>
      <t>B</t>
    </r>
    <r>
      <rPr>
        <sz val="11"/>
        <color theme="1"/>
        <rFont val="Arial"/>
        <charset val="1"/>
      </rPr>
      <t>: Débit binaire cible de la liaison</t>
    </r>
  </si>
  <si>
    <t>Durée d'un bit T = 1/B (B en Gbit/s -&gt; T en ps)</t>
  </si>
  <si>
    <r>
      <rPr>
        <b/>
        <sz val="11"/>
        <color theme="1"/>
        <rFont val="Arial"/>
        <family val="2"/>
      </rPr>
      <t>ΔT_CD</t>
    </r>
    <r>
      <rPr>
        <sz val="11"/>
        <color theme="1"/>
        <rFont val="Arial"/>
        <charset val="1"/>
      </rPr>
      <t xml:space="preserve"> : Elargissement max admissible (ΔT_CD&lt;=T/4)</t>
    </r>
  </si>
  <si>
    <r>
      <rPr>
        <b/>
        <sz val="11"/>
        <color theme="1"/>
        <rFont val="Arial"/>
        <family val="2"/>
      </rPr>
      <t>D</t>
    </r>
    <r>
      <rPr>
        <sz val="11"/>
        <color theme="1"/>
        <rFont val="Arial"/>
        <charset val="1"/>
      </rPr>
      <t xml:space="preserve"> : Coefficient dispersion chromatique de la fibre</t>
    </r>
  </si>
  <si>
    <r>
      <rPr>
        <b/>
        <sz val="11"/>
        <color theme="1"/>
        <rFont val="Arial"/>
        <family val="2"/>
      </rPr>
      <t>L_CD</t>
    </r>
    <r>
      <rPr>
        <sz val="11"/>
        <color theme="1"/>
        <rFont val="Arial"/>
        <family val="2"/>
      </rPr>
      <t xml:space="preserve"> : Portée max limitée par dispersion chromatique (ΔT_CD / (D × Δλ) )</t>
    </r>
  </si>
  <si>
    <r>
      <rPr>
        <b/>
        <sz val="11"/>
        <color theme="1"/>
        <rFont val="Arial"/>
        <family val="2"/>
      </rPr>
      <t>Δλ</t>
    </r>
    <r>
      <rPr>
        <sz val="11"/>
        <color theme="1"/>
        <rFont val="Arial"/>
        <charset val="1"/>
      </rPr>
      <t xml:space="preserve"> : Largeur spectrale source laser DFB</t>
    </r>
  </si>
  <si>
    <r>
      <rPr>
        <b/>
        <sz val="11"/>
        <color theme="1"/>
        <rFont val="Arial"/>
        <family val="2"/>
      </rPr>
      <t>ΔT_PMD</t>
    </r>
    <r>
      <rPr>
        <sz val="11"/>
        <color theme="1"/>
        <rFont val="Arial"/>
        <charset val="1"/>
      </rPr>
      <t xml:space="preserve"> : Elargissement max admissible PMD (ΔT_PMD &lt;=T/10)</t>
    </r>
  </si>
  <si>
    <r>
      <rPr>
        <b/>
        <sz val="11"/>
        <color theme="1"/>
        <rFont val="Arial"/>
        <family val="2"/>
      </rPr>
      <t>L_PMD</t>
    </r>
    <r>
      <rPr>
        <sz val="11"/>
        <color theme="1"/>
        <rFont val="Arial"/>
        <family val="2"/>
      </rPr>
      <t xml:space="preserve"> : Portée max limitée par PMD ((ΔT_PMD /PMD_coeff)^2)</t>
    </r>
  </si>
  <si>
    <r>
      <rPr>
        <b/>
        <sz val="11"/>
        <color theme="1"/>
        <rFont val="Arial"/>
        <family val="2"/>
      </rPr>
      <t>PMD_coeff</t>
    </r>
    <r>
      <rPr>
        <sz val="11"/>
        <color theme="1"/>
        <rFont val="Arial"/>
        <charset val="1"/>
      </rPr>
      <t xml:space="preserve">  : Coefficient PMD (G.652.D)</t>
    </r>
  </si>
  <si>
    <t>CD(dispersion chromatique) respecte le critère T/4 ?</t>
  </si>
  <si>
    <t xml:space="preserve">Section II.5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</si>
</sst>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"/>
    <numFmt numFmtId="165" formatCode="0.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color theme="1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i/>
      <sz val="10"/>
      <color rgb="FFC0521A"/>
      <name val="Arial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521A"/>
        <bgColor rgb="FFBE4B48"/>
      </patternFill>
    </fill>
    <fill>
      <patternFill patternType="solid">
        <fgColor rgb="FFFAE8D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164" fontId="4" fillId="0" borderId="1" xfId="0" applyNumberFormat="1" applyFont="1" applyBorder="1"/>
    <xf numFmtId="0" fontId="2" fillId="3" borderId="1" xfId="0" applyFont="1" applyFill="1" applyBorder="1"/>
    <xf numFmtId="164" fontId="4" fillId="3" borderId="1" xfId="0" applyNumberFormat="1" applyFont="1" applyFill="1" applyBorder="1"/>
    <xf numFmtId="2" fontId="2" fillId="0" borderId="1" xfId="0" applyNumberFormat="1" applyFont="1" applyBorder="1"/>
    <xf numFmtId="2" fontId="2" fillId="3" borderId="1" xfId="0" applyNumberFormat="1" applyFont="1" applyFill="1" applyBorder="1"/>
    <xf numFmtId="0" fontId="6" fillId="0" borderId="0" xfId="0" applyFont="1"/>
    <xf numFmtId="0" fontId="4" fillId="0" borderId="1" xfId="0" applyFont="1" applyBorder="1"/>
    <xf numFmtId="165" fontId="2" fillId="0" borderId="1" xfId="0" applyNumberFormat="1" applyFont="1" applyBorder="1"/>
    <xf numFmtId="0" fontId="4" fillId="3" borderId="1" xfId="0" applyFont="1" applyFill="1" applyBorder="1"/>
    <xf numFmtId="165" fontId="2" fillId="3" borderId="1" xfId="0" applyNumberFormat="1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10" fillId="0" borderId="0" xfId="0" applyFont="1"/>
    <xf numFmtId="0" fontId="5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AE8D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52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Puissance reçue en fonction de la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Bilan_Puissance!$B$19</c:f>
              <c:strCache>
                <c:ptCount val="1"/>
                <c:pt idx="0">
                  <c:v>P_recue(L) (dBm)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Bilan_Puissance!$A$20:$A$52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</c:numCache>
            </c:numRef>
          </c:cat>
          <c:val>
            <c:numRef>
              <c:f>Bilan_Puissance!$B$20:$B$52</c:f>
              <c:numCache>
                <c:formatCode>0.00</c:formatCode>
                <c:ptCount val="33"/>
                <c:pt idx="0">
                  <c:v>-1.2000000000000002</c:v>
                </c:pt>
                <c:pt idx="1">
                  <c:v>-2.2625000000000002</c:v>
                </c:pt>
                <c:pt idx="2">
                  <c:v>-3.3250000000000002</c:v>
                </c:pt>
                <c:pt idx="3">
                  <c:v>-4.3875000000000011</c:v>
                </c:pt>
                <c:pt idx="4">
                  <c:v>-5.4499999999999993</c:v>
                </c:pt>
                <c:pt idx="5">
                  <c:v>-6.5125000000000011</c:v>
                </c:pt>
                <c:pt idx="6">
                  <c:v>-7.5750000000000011</c:v>
                </c:pt>
                <c:pt idx="7">
                  <c:v>-8.6375000000000011</c:v>
                </c:pt>
                <c:pt idx="8">
                  <c:v>-9.6999999999999993</c:v>
                </c:pt>
                <c:pt idx="9">
                  <c:v>-10.762500000000003</c:v>
                </c:pt>
                <c:pt idx="10">
                  <c:v>-11.825000000000003</c:v>
                </c:pt>
                <c:pt idx="11">
                  <c:v>-12.887500000000003</c:v>
                </c:pt>
                <c:pt idx="12">
                  <c:v>-13.950000000000003</c:v>
                </c:pt>
                <c:pt idx="13">
                  <c:v>-15.012500000000003</c:v>
                </c:pt>
                <c:pt idx="14">
                  <c:v>-16.075000000000003</c:v>
                </c:pt>
                <c:pt idx="15">
                  <c:v>-17.137500000000003</c:v>
                </c:pt>
                <c:pt idx="16">
                  <c:v>-18.2</c:v>
                </c:pt>
                <c:pt idx="17">
                  <c:v>-19.262500000000003</c:v>
                </c:pt>
                <c:pt idx="18">
                  <c:v>-20.325000000000003</c:v>
                </c:pt>
                <c:pt idx="19">
                  <c:v>-21.387500000000003</c:v>
                </c:pt>
                <c:pt idx="20">
                  <c:v>-22.450000000000003</c:v>
                </c:pt>
                <c:pt idx="21">
                  <c:v>-23.512500000000003</c:v>
                </c:pt>
                <c:pt idx="22">
                  <c:v>-24.575000000000003</c:v>
                </c:pt>
                <c:pt idx="23">
                  <c:v>-25.637500000000003</c:v>
                </c:pt>
                <c:pt idx="24">
                  <c:v>-26.700000000000003</c:v>
                </c:pt>
                <c:pt idx="25">
                  <c:v>-27.762500000000003</c:v>
                </c:pt>
                <c:pt idx="26">
                  <c:v>-28.825000000000003</c:v>
                </c:pt>
                <c:pt idx="27">
                  <c:v>-29.887500000000003</c:v>
                </c:pt>
                <c:pt idx="28">
                  <c:v>-30.950000000000003</c:v>
                </c:pt>
                <c:pt idx="29">
                  <c:v>-32.012500000000003</c:v>
                </c:pt>
                <c:pt idx="30">
                  <c:v>-33.075000000000003</c:v>
                </c:pt>
                <c:pt idx="31">
                  <c:v>-34.137500000000003</c:v>
                </c:pt>
                <c:pt idx="32">
                  <c:v>-35.200000000000003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3-4450-B7ED-80C015AC65CF}"/>
            </c:ext>
          </c:extLst>
        </c:ser>
        <c:ser>
          <c:idx val="1"/>
          <c:order val="1"/>
          <c:tx>
            <c:strRef>
              <c:f>Bilan_Puissance!$C$19</c:f>
              <c:strCache>
                <c:ptCount val="1"/>
                <c:pt idx="0">
                  <c:v>Pr_min (dBm)</c:v>
                </c:pt>
              </c:strCache>
            </c:strRef>
          </c:tx>
          <c:spPr>
            <a:ln w="47520">
              <a:solidFill>
                <a:srgbClr val="BE4B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Bilan_Puissance!$A$20:$A$52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</c:numCache>
            </c:numRef>
          </c:cat>
          <c:val>
            <c:numRef>
              <c:f>Bilan_Puissance!$C$20:$C$52</c:f>
              <c:numCache>
                <c:formatCode>0.00</c:formatCode>
                <c:ptCount val="3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-28</c:v>
                </c:pt>
                <c:pt idx="4">
                  <c:v>-28</c:v>
                </c:pt>
                <c:pt idx="5">
                  <c:v>-28</c:v>
                </c:pt>
                <c:pt idx="6">
                  <c:v>-28</c:v>
                </c:pt>
                <c:pt idx="7">
                  <c:v>-28</c:v>
                </c:pt>
                <c:pt idx="8">
                  <c:v>-28</c:v>
                </c:pt>
                <c:pt idx="9">
                  <c:v>-28</c:v>
                </c:pt>
                <c:pt idx="10">
                  <c:v>-28</c:v>
                </c:pt>
                <c:pt idx="11">
                  <c:v>-28</c:v>
                </c:pt>
                <c:pt idx="12">
                  <c:v>-28</c:v>
                </c:pt>
                <c:pt idx="13">
                  <c:v>-28</c:v>
                </c:pt>
                <c:pt idx="14">
                  <c:v>-28</c:v>
                </c:pt>
                <c:pt idx="15">
                  <c:v>-28</c:v>
                </c:pt>
                <c:pt idx="16">
                  <c:v>-28</c:v>
                </c:pt>
                <c:pt idx="17">
                  <c:v>-28</c:v>
                </c:pt>
                <c:pt idx="18">
                  <c:v>-28</c:v>
                </c:pt>
                <c:pt idx="19">
                  <c:v>-28</c:v>
                </c:pt>
                <c:pt idx="20">
                  <c:v>-28</c:v>
                </c:pt>
                <c:pt idx="21">
                  <c:v>-28</c:v>
                </c:pt>
                <c:pt idx="22">
                  <c:v>-28</c:v>
                </c:pt>
                <c:pt idx="23">
                  <c:v>-28</c:v>
                </c:pt>
                <c:pt idx="24">
                  <c:v>-28</c:v>
                </c:pt>
                <c:pt idx="25">
                  <c:v>-28</c:v>
                </c:pt>
                <c:pt idx="26">
                  <c:v>-28</c:v>
                </c:pt>
                <c:pt idx="27">
                  <c:v>-28</c:v>
                </c:pt>
                <c:pt idx="28">
                  <c:v>-28</c:v>
                </c:pt>
                <c:pt idx="29">
                  <c:v>-28</c:v>
                </c:pt>
                <c:pt idx="30">
                  <c:v>-28</c:v>
                </c:pt>
                <c:pt idx="31">
                  <c:v>-28</c:v>
                </c:pt>
                <c:pt idx="32">
                  <c:v>-28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3-4450-B7ED-80C015AC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715268"/>
        <c:axId val="62341256"/>
      </c:lineChart>
      <c:catAx>
        <c:axId val="81715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2341256"/>
        <c:crosses val="autoZero"/>
        <c:auto val="1"/>
        <c:lblAlgn val="ctr"/>
        <c:lblOffset val="100"/>
        <c:noMultiLvlLbl val="0"/>
      </c:catAx>
      <c:valAx>
        <c:axId val="62341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Puissance (dBm)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715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Marge de liaison en fonction de la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[1]Bilan_Puissance!$D$19</c:f>
              <c:strCache>
                <c:ptCount val="1"/>
                <c:pt idx="0">
                  <c:v>Marge(L) (dB)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[1]Bilan_Puissance!$A$20:$A$52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</c:numCache>
            </c:numRef>
          </c:cat>
          <c:val>
            <c:numRef>
              <c:f>[1]Bilan_Puissance!$D$20:$D$52</c:f>
              <c:numCache>
                <c:formatCode>General</c:formatCode>
                <c:ptCount val="33"/>
                <c:pt idx="0">
                  <c:v>26.8</c:v>
                </c:pt>
                <c:pt idx="1">
                  <c:v>25.737500000000001</c:v>
                </c:pt>
                <c:pt idx="2">
                  <c:v>24.675000000000001</c:v>
                </c:pt>
                <c:pt idx="3">
                  <c:v>23.612499999999997</c:v>
                </c:pt>
                <c:pt idx="4">
                  <c:v>22.55</c:v>
                </c:pt>
                <c:pt idx="5">
                  <c:v>21.487499999999997</c:v>
                </c:pt>
                <c:pt idx="6">
                  <c:v>20.424999999999997</c:v>
                </c:pt>
                <c:pt idx="7">
                  <c:v>19.362499999999997</c:v>
                </c:pt>
                <c:pt idx="8">
                  <c:v>18.3</c:v>
                </c:pt>
                <c:pt idx="9">
                  <c:v>17.237499999999997</c:v>
                </c:pt>
                <c:pt idx="10">
                  <c:v>16.174999999999997</c:v>
                </c:pt>
                <c:pt idx="11">
                  <c:v>15.112499999999997</c:v>
                </c:pt>
                <c:pt idx="12">
                  <c:v>14.049999999999997</c:v>
                </c:pt>
                <c:pt idx="13">
                  <c:v>12.987499999999997</c:v>
                </c:pt>
                <c:pt idx="14">
                  <c:v>11.924999999999997</c:v>
                </c:pt>
                <c:pt idx="15">
                  <c:v>10.862499999999997</c:v>
                </c:pt>
                <c:pt idx="16">
                  <c:v>9.8000000000000007</c:v>
                </c:pt>
                <c:pt idx="17">
                  <c:v>8.7374999999999972</c:v>
                </c:pt>
                <c:pt idx="18">
                  <c:v>7.6749999999999972</c:v>
                </c:pt>
                <c:pt idx="19">
                  <c:v>6.6124999999999972</c:v>
                </c:pt>
                <c:pt idx="20">
                  <c:v>5.5499999999999972</c:v>
                </c:pt>
                <c:pt idx="21">
                  <c:v>4.4874999999999972</c:v>
                </c:pt>
                <c:pt idx="22">
                  <c:v>3.4249999999999972</c:v>
                </c:pt>
                <c:pt idx="23">
                  <c:v>2.3624999999999972</c:v>
                </c:pt>
                <c:pt idx="24">
                  <c:v>1.2999999999999972</c:v>
                </c:pt>
                <c:pt idx="25">
                  <c:v>0.23749999999999716</c:v>
                </c:pt>
                <c:pt idx="26">
                  <c:v>-0.82500000000000284</c:v>
                </c:pt>
                <c:pt idx="27">
                  <c:v>-1.8875000000000028</c:v>
                </c:pt>
                <c:pt idx="28">
                  <c:v>-2.9500000000000028</c:v>
                </c:pt>
                <c:pt idx="29">
                  <c:v>-4.0125000000000028</c:v>
                </c:pt>
                <c:pt idx="30">
                  <c:v>-5.0750000000000028</c:v>
                </c:pt>
                <c:pt idx="31">
                  <c:v>-6.1375000000000028</c:v>
                </c:pt>
                <c:pt idx="32">
                  <c:v>-7.2000000000000028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6-4C62-A1E7-4D4E04719787}"/>
            </c:ext>
          </c:extLst>
        </c:ser>
        <c:ser>
          <c:idx val="1"/>
          <c:order val="1"/>
          <c:tx>
            <c:strRef>
              <c:f>[1]Bilan_Puissance!$E$19</c:f>
              <c:strCache>
                <c:ptCount val="1"/>
                <c:pt idx="0">
                  <c:v>Seuil 0 (dB)</c:v>
                </c:pt>
              </c:strCache>
            </c:strRef>
          </c:tx>
          <c:spPr>
            <a:ln w="47520">
              <a:solidFill>
                <a:srgbClr val="CC8F8E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[1]Bilan_Puissance!$A$20:$A$52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</c:numCache>
            </c:numRef>
          </c:cat>
          <c:val>
            <c:numRef>
              <c:f>[1]Bilan_Puissance!$E$20:$E$52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6-4C62-A1E7-4D4E04719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082553"/>
        <c:axId val="55011465"/>
      </c:lineChart>
      <c:catAx>
        <c:axId val="77082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011465"/>
        <c:crosses val="autoZero"/>
        <c:auto val="1"/>
        <c:lblAlgn val="ctr"/>
        <c:lblOffset val="100"/>
        <c:noMultiLvlLbl val="0"/>
      </c:catAx>
      <c:valAx>
        <c:axId val="55011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Marge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7082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1402080</xdr:colOff>
      <xdr:row>55</xdr:row>
      <xdr:rowOff>7620</xdr:rowOff>
    </xdr:from>
    <xdr:to>
      <xdr:col>2</xdr:col>
      <xdr:colOff>1406940</xdr:colOff>
      <xdr:row>72</xdr:row>
      <xdr:rowOff>8700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CE8F727-1EE0-4A46-A7A7-EED7E8D88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1417320</xdr:colOff>
      <xdr:row>74</xdr:row>
      <xdr:rowOff>114300</xdr:rowOff>
    </xdr:from>
    <xdr:to>
      <xdr:col>2</xdr:col>
      <xdr:colOff>1421820</xdr:colOff>
      <xdr:row>91</xdr:row>
      <xdr:rowOff>115380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478CE18-0851-40CB-9189-1CBBC53A6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smtsn-my.sharepoint.com/personal/payiemariane_elola_etu_esmt_sn/Documents/Simulation_Excel_Liaison_FO%20(1).xlsx" TargetMode="External"/><Relationship Id="rId1" Type="http://schemas.openxmlformats.org/officeDocument/2006/relationships/externalLinkPath" Target="https://esmtsn-my.sharepoint.com/personal/payiemariane_elola_etu_esmt_sn/Documents/Simulation_Excel_Liaison_F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potheses"/>
      <sheetName val="Bilan_Puissance"/>
      <sheetName val="Bilan_Dispersion"/>
      <sheetName val="Synthese"/>
      <sheetName val="Sensibilite"/>
    </sheetNames>
    <sheetDataSet>
      <sheetData sheetId="0"/>
      <sheetData sheetId="1">
        <row r="19">
          <cell r="D19" t="str">
            <v>Marge(L) (dB)</v>
          </cell>
          <cell r="E19" t="str">
            <v>Seuil 0 (dB)</v>
          </cell>
        </row>
        <row r="20">
          <cell r="A20">
            <v>0</v>
          </cell>
          <cell r="D20">
            <v>26.8</v>
          </cell>
          <cell r="E20">
            <v>0</v>
          </cell>
        </row>
        <row r="21">
          <cell r="A21">
            <v>5</v>
          </cell>
          <cell r="D21">
            <v>25.737500000000001</v>
          </cell>
          <cell r="E21">
            <v>0</v>
          </cell>
        </row>
        <row r="22">
          <cell r="A22">
            <v>10</v>
          </cell>
          <cell r="D22">
            <v>24.675000000000001</v>
          </cell>
          <cell r="E22">
            <v>0</v>
          </cell>
        </row>
        <row r="23">
          <cell r="A23">
            <v>15</v>
          </cell>
          <cell r="D23">
            <v>23.612499999999997</v>
          </cell>
          <cell r="E23">
            <v>0</v>
          </cell>
        </row>
        <row r="24">
          <cell r="A24">
            <v>20</v>
          </cell>
          <cell r="D24">
            <v>22.55</v>
          </cell>
          <cell r="E24">
            <v>0</v>
          </cell>
        </row>
        <row r="25">
          <cell r="A25">
            <v>25</v>
          </cell>
          <cell r="D25">
            <v>21.487499999999997</v>
          </cell>
          <cell r="E25">
            <v>0</v>
          </cell>
        </row>
        <row r="26">
          <cell r="A26">
            <v>30</v>
          </cell>
          <cell r="D26">
            <v>20.424999999999997</v>
          </cell>
          <cell r="E26">
            <v>0</v>
          </cell>
        </row>
        <row r="27">
          <cell r="A27">
            <v>35</v>
          </cell>
          <cell r="D27">
            <v>19.362499999999997</v>
          </cell>
          <cell r="E27">
            <v>0</v>
          </cell>
        </row>
        <row r="28">
          <cell r="A28">
            <v>40</v>
          </cell>
          <cell r="D28">
            <v>18.3</v>
          </cell>
          <cell r="E28">
            <v>0</v>
          </cell>
        </row>
        <row r="29">
          <cell r="A29">
            <v>45</v>
          </cell>
          <cell r="D29">
            <v>17.237499999999997</v>
          </cell>
          <cell r="E29">
            <v>0</v>
          </cell>
        </row>
        <row r="30">
          <cell r="A30">
            <v>50</v>
          </cell>
          <cell r="D30">
            <v>16.174999999999997</v>
          </cell>
          <cell r="E30">
            <v>0</v>
          </cell>
        </row>
        <row r="31">
          <cell r="A31">
            <v>55</v>
          </cell>
          <cell r="D31">
            <v>15.112499999999997</v>
          </cell>
          <cell r="E31">
            <v>0</v>
          </cell>
        </row>
        <row r="32">
          <cell r="A32">
            <v>60</v>
          </cell>
          <cell r="D32">
            <v>14.049999999999997</v>
          </cell>
          <cell r="E32">
            <v>0</v>
          </cell>
        </row>
        <row r="33">
          <cell r="A33">
            <v>65</v>
          </cell>
          <cell r="D33">
            <v>12.987499999999997</v>
          </cell>
          <cell r="E33">
            <v>0</v>
          </cell>
        </row>
        <row r="34">
          <cell r="A34">
            <v>70</v>
          </cell>
          <cell r="D34">
            <v>11.924999999999997</v>
          </cell>
          <cell r="E34">
            <v>0</v>
          </cell>
        </row>
        <row r="35">
          <cell r="A35">
            <v>75</v>
          </cell>
          <cell r="D35">
            <v>10.862499999999997</v>
          </cell>
          <cell r="E35">
            <v>0</v>
          </cell>
        </row>
        <row r="36">
          <cell r="A36">
            <v>80</v>
          </cell>
          <cell r="D36">
            <v>9.8000000000000007</v>
          </cell>
          <cell r="E36">
            <v>0</v>
          </cell>
        </row>
        <row r="37">
          <cell r="A37">
            <v>85</v>
          </cell>
          <cell r="D37">
            <v>8.7374999999999972</v>
          </cell>
          <cell r="E37">
            <v>0</v>
          </cell>
        </row>
        <row r="38">
          <cell r="A38">
            <v>90</v>
          </cell>
          <cell r="D38">
            <v>7.6749999999999972</v>
          </cell>
          <cell r="E38">
            <v>0</v>
          </cell>
        </row>
        <row r="39">
          <cell r="A39">
            <v>95</v>
          </cell>
          <cell r="D39">
            <v>6.6124999999999972</v>
          </cell>
          <cell r="E39">
            <v>0</v>
          </cell>
        </row>
        <row r="40">
          <cell r="A40">
            <v>100</v>
          </cell>
          <cell r="D40">
            <v>5.5499999999999972</v>
          </cell>
          <cell r="E40">
            <v>0</v>
          </cell>
        </row>
        <row r="41">
          <cell r="A41">
            <v>105</v>
          </cell>
          <cell r="D41">
            <v>4.4874999999999972</v>
          </cell>
          <cell r="E41">
            <v>0</v>
          </cell>
        </row>
        <row r="42">
          <cell r="A42">
            <v>110</v>
          </cell>
          <cell r="D42">
            <v>3.4249999999999972</v>
          </cell>
          <cell r="E42">
            <v>0</v>
          </cell>
        </row>
        <row r="43">
          <cell r="A43">
            <v>115</v>
          </cell>
          <cell r="D43">
            <v>2.3624999999999972</v>
          </cell>
          <cell r="E43">
            <v>0</v>
          </cell>
        </row>
        <row r="44">
          <cell r="A44">
            <v>120</v>
          </cell>
          <cell r="D44">
            <v>1.2999999999999972</v>
          </cell>
          <cell r="E44">
            <v>0</v>
          </cell>
        </row>
        <row r="45">
          <cell r="A45">
            <v>125</v>
          </cell>
          <cell r="D45">
            <v>0.23749999999999716</v>
          </cell>
          <cell r="E45">
            <v>0</v>
          </cell>
        </row>
        <row r="46">
          <cell r="A46">
            <v>130</v>
          </cell>
          <cell r="D46">
            <v>-0.82500000000000284</v>
          </cell>
          <cell r="E46">
            <v>0</v>
          </cell>
        </row>
        <row r="47">
          <cell r="A47">
            <v>135</v>
          </cell>
          <cell r="D47">
            <v>-1.8875000000000028</v>
          </cell>
          <cell r="E47">
            <v>0</v>
          </cell>
        </row>
        <row r="48">
          <cell r="A48">
            <v>140</v>
          </cell>
          <cell r="D48">
            <v>-2.9500000000000028</v>
          </cell>
          <cell r="E48">
            <v>0</v>
          </cell>
        </row>
        <row r="49">
          <cell r="A49">
            <v>145</v>
          </cell>
          <cell r="D49">
            <v>-4.0125000000000028</v>
          </cell>
          <cell r="E49">
            <v>0</v>
          </cell>
        </row>
        <row r="50">
          <cell r="A50">
            <v>150</v>
          </cell>
          <cell r="D50">
            <v>-5.0750000000000028</v>
          </cell>
          <cell r="E50">
            <v>0</v>
          </cell>
        </row>
        <row r="51">
          <cell r="A51">
            <v>155</v>
          </cell>
          <cell r="D51">
            <v>-6.1375000000000028</v>
          </cell>
          <cell r="E51">
            <v>0</v>
          </cell>
        </row>
        <row r="52">
          <cell r="A52">
            <v>160</v>
          </cell>
          <cell r="D52">
            <v>-7.2000000000000028</v>
          </cell>
          <cell r="E52">
            <v>0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Personnalisé 3">
      <a:dk1>
        <a:srgbClr val="181818"/>
      </a:dk1>
      <a:lt1>
        <a:sysClr val="window" lastClr="FFFFFF"/>
      </a:lt1>
      <a:dk2>
        <a:srgbClr val="9F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002060"/>
      </a:hlink>
      <a:folHlink>
        <a:srgbClr val="919191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Normal="100" workbookViewId="0">
      <selection activeCell="A26" sqref="A26"/>
    </sheetView>
  </sheetViews>
  <sheetFormatPr baseColWidth="10" defaultColWidth="8.6640625" defaultRowHeight="14.4" x14ac:dyDescent="0.3"/>
  <cols>
    <col min="1" max="1" width="46" customWidth="1"/>
    <col min="2" max="2" width="10" customWidth="1"/>
    <col min="3" max="3" width="14" customWidth="1"/>
    <col min="4" max="4" width="30" customWidth="1"/>
  </cols>
  <sheetData>
    <row r="1" spans="1:4" ht="17.399999999999999" x14ac:dyDescent="0.3">
      <c r="A1" s="25" t="s">
        <v>0</v>
      </c>
      <c r="B1" s="24"/>
      <c r="C1" s="24"/>
      <c r="D1" s="24"/>
    </row>
    <row r="2" spans="1:4" x14ac:dyDescent="0.3">
      <c r="A2" s="1"/>
      <c r="B2" s="1"/>
      <c r="C2" s="1"/>
      <c r="D2" s="1"/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14" t="s">
        <v>85</v>
      </c>
      <c r="B4" s="4">
        <v>3</v>
      </c>
      <c r="C4" s="3" t="s">
        <v>5</v>
      </c>
      <c r="D4" s="3" t="s">
        <v>6</v>
      </c>
    </row>
    <row r="5" spans="1:4" x14ac:dyDescent="0.3">
      <c r="A5" s="15" t="s">
        <v>86</v>
      </c>
      <c r="B5" s="6">
        <v>-28</v>
      </c>
      <c r="C5" s="5" t="s">
        <v>5</v>
      </c>
      <c r="D5" s="5" t="s">
        <v>7</v>
      </c>
    </row>
    <row r="6" spans="1:4" x14ac:dyDescent="0.3">
      <c r="A6" s="14" t="s">
        <v>87</v>
      </c>
      <c r="B6" s="4">
        <v>0.2</v>
      </c>
      <c r="C6" s="3" t="s">
        <v>8</v>
      </c>
      <c r="D6" s="3" t="s">
        <v>9</v>
      </c>
    </row>
    <row r="7" spans="1:4" x14ac:dyDescent="0.3">
      <c r="A7" s="5" t="s">
        <v>10</v>
      </c>
      <c r="B7" s="6">
        <v>4</v>
      </c>
      <c r="C7" s="5" t="s">
        <v>11</v>
      </c>
      <c r="D7" s="5" t="s">
        <v>12</v>
      </c>
    </row>
    <row r="8" spans="1:4" x14ac:dyDescent="0.3">
      <c r="A8" s="14" t="s">
        <v>88</v>
      </c>
      <c r="B8" s="4">
        <v>0.3</v>
      </c>
      <c r="C8" s="3" t="s">
        <v>13</v>
      </c>
      <c r="D8" s="3" t="s">
        <v>14</v>
      </c>
    </row>
    <row r="9" spans="1:4" x14ac:dyDescent="0.3">
      <c r="A9" s="15" t="s">
        <v>89</v>
      </c>
      <c r="B9" s="6">
        <v>3</v>
      </c>
      <c r="C9" s="5" t="s">
        <v>13</v>
      </c>
      <c r="D9" s="5" t="s">
        <v>14</v>
      </c>
    </row>
    <row r="10" spans="1:4" x14ac:dyDescent="0.3">
      <c r="A10" s="14" t="s">
        <v>91</v>
      </c>
      <c r="B10" s="4">
        <v>0.05</v>
      </c>
      <c r="C10" s="3" t="s">
        <v>13</v>
      </c>
      <c r="D10" s="3" t="s">
        <v>14</v>
      </c>
    </row>
    <row r="11" spans="1:4" x14ac:dyDescent="0.3">
      <c r="A11" s="15" t="s">
        <v>92</v>
      </c>
      <c r="B11" s="6">
        <v>4</v>
      </c>
      <c r="C11" s="5" t="s">
        <v>15</v>
      </c>
      <c r="D11" s="5" t="s">
        <v>16</v>
      </c>
    </row>
    <row r="12" spans="1:4" x14ac:dyDescent="0.3">
      <c r="A12" s="14" t="s">
        <v>100</v>
      </c>
      <c r="B12" s="4">
        <v>17</v>
      </c>
      <c r="C12" s="3" t="s">
        <v>17</v>
      </c>
      <c r="D12" s="3" t="s">
        <v>9</v>
      </c>
    </row>
    <row r="13" spans="1:4" x14ac:dyDescent="0.3">
      <c r="A13" s="15" t="s">
        <v>102</v>
      </c>
      <c r="B13" s="6">
        <v>0.01</v>
      </c>
      <c r="C13" s="5" t="s">
        <v>18</v>
      </c>
      <c r="D13" s="15" t="s">
        <v>107</v>
      </c>
    </row>
    <row r="14" spans="1:4" x14ac:dyDescent="0.3">
      <c r="A14" s="14" t="s">
        <v>97</v>
      </c>
      <c r="B14" s="4">
        <v>10</v>
      </c>
      <c r="C14" s="3" t="s">
        <v>19</v>
      </c>
      <c r="D14" s="3" t="s">
        <v>20</v>
      </c>
    </row>
    <row r="15" spans="1:4" x14ac:dyDescent="0.3">
      <c r="A15" s="15" t="s">
        <v>105</v>
      </c>
      <c r="B15" s="6">
        <v>0.05</v>
      </c>
      <c r="C15" s="5" t="s">
        <v>21</v>
      </c>
      <c r="D15" s="5" t="s">
        <v>9</v>
      </c>
    </row>
    <row r="16" spans="1:4" x14ac:dyDescent="0.3">
      <c r="A16" s="14" t="s">
        <v>90</v>
      </c>
      <c r="B16" s="4">
        <v>65</v>
      </c>
      <c r="C16" s="3" t="s">
        <v>15</v>
      </c>
      <c r="D16" s="3" t="s">
        <v>22</v>
      </c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26"/>
      <c r="B19" s="26"/>
      <c r="C19" s="26"/>
      <c r="D19" s="26"/>
    </row>
  </sheetData>
  <mergeCells count="2">
    <mergeCell ref="A1:D1"/>
    <mergeCell ref="A19:D1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showGridLines="0" tabSelected="1" topLeftCell="A88" zoomScaleNormal="100" workbookViewId="0">
      <selection activeCell="B6" sqref="B6"/>
    </sheetView>
  </sheetViews>
  <sheetFormatPr baseColWidth="10" defaultColWidth="8.6640625" defaultRowHeight="14.4" x14ac:dyDescent="0.3"/>
  <cols>
    <col min="1" max="1" width="52" customWidth="1"/>
    <col min="2" max="2" width="29.6640625" customWidth="1"/>
    <col min="3" max="3" width="26.109375" customWidth="1"/>
    <col min="4" max="4" width="2" customWidth="1"/>
  </cols>
  <sheetData>
    <row r="1" spans="1:4" ht="17.399999999999999" x14ac:dyDescent="0.3">
      <c r="A1" s="24" t="s">
        <v>23</v>
      </c>
      <c r="B1" s="24"/>
      <c r="C1" s="24"/>
      <c r="D1" s="24"/>
    </row>
    <row r="2" spans="1:4" x14ac:dyDescent="0.3">
      <c r="A2" s="1"/>
      <c r="B2" s="1"/>
      <c r="C2" s="1"/>
      <c r="D2" s="1"/>
    </row>
    <row r="3" spans="1:4" x14ac:dyDescent="0.3">
      <c r="A3" s="2" t="s">
        <v>24</v>
      </c>
      <c r="B3" s="2" t="s">
        <v>2</v>
      </c>
      <c r="C3" s="2" t="s">
        <v>3</v>
      </c>
      <c r="D3" s="1" t="s">
        <v>25</v>
      </c>
    </row>
    <row r="4" spans="1:4" x14ac:dyDescent="0.3">
      <c r="A4" s="3" t="s">
        <v>83</v>
      </c>
      <c r="B4" s="18">
        <f>Hypotheses!$B$7*Hypotheses!$B$8</f>
        <v>1.2</v>
      </c>
      <c r="C4" s="16" t="s">
        <v>13</v>
      </c>
      <c r="D4" s="1"/>
    </row>
    <row r="5" spans="1:4" x14ac:dyDescent="0.3">
      <c r="A5" s="15" t="s">
        <v>96</v>
      </c>
      <c r="B5" s="19">
        <f>Hypotheses!$B$4-Hypotheses!$B$5</f>
        <v>31</v>
      </c>
      <c r="C5" s="17" t="s">
        <v>13</v>
      </c>
      <c r="D5" s="1"/>
    </row>
    <row r="6" spans="1:4" x14ac:dyDescent="0.3">
      <c r="A6" s="3" t="s">
        <v>84</v>
      </c>
      <c r="B6" s="18">
        <f>Bilan_Puissance!$B$4+Hypotheses!$B$9</f>
        <v>4.2</v>
      </c>
      <c r="C6" s="16" t="s">
        <v>13</v>
      </c>
      <c r="D6" s="1"/>
    </row>
    <row r="7" spans="1:4" x14ac:dyDescent="0.3">
      <c r="A7" s="15" t="s">
        <v>26</v>
      </c>
      <c r="B7" s="19">
        <f>Bilan_Puissance!$B$5-Bilan_Puissance!$B$6</f>
        <v>26.8</v>
      </c>
      <c r="C7" s="17" t="s">
        <v>13</v>
      </c>
      <c r="D7" s="1"/>
    </row>
    <row r="8" spans="1:4" x14ac:dyDescent="0.3">
      <c r="A8" s="14" t="s">
        <v>93</v>
      </c>
      <c r="B8" s="18">
        <f>Hypotheses!$B$10/Hypotheses!$B$11</f>
        <v>1.2500000000000001E-2</v>
      </c>
      <c r="C8" s="16" t="s">
        <v>8</v>
      </c>
      <c r="D8" s="1"/>
    </row>
    <row r="9" spans="1:4" x14ac:dyDescent="0.3">
      <c r="A9" s="15" t="s">
        <v>94</v>
      </c>
      <c r="B9" s="19">
        <f>Hypotheses!$B$6+Bilan_Puissance!$B$8</f>
        <v>0.21250000000000002</v>
      </c>
      <c r="C9" s="17" t="s">
        <v>8</v>
      </c>
      <c r="D9" s="1"/>
    </row>
    <row r="10" spans="1:4" x14ac:dyDescent="0.3">
      <c r="A10" s="14" t="s">
        <v>95</v>
      </c>
      <c r="B10" s="18">
        <f>Bilan_Puissance!$B$7/Bilan_Puissance!$B$9</f>
        <v>126.11764705882352</v>
      </c>
      <c r="C10" s="16" t="s">
        <v>15</v>
      </c>
      <c r="D10" s="1"/>
    </row>
    <row r="11" spans="1:4" x14ac:dyDescent="0.3">
      <c r="A11" s="1"/>
      <c r="B11" s="20"/>
      <c r="C11" s="20"/>
      <c r="D11" s="1"/>
    </row>
    <row r="12" spans="1:4" x14ac:dyDescent="0.3">
      <c r="A12" s="1"/>
      <c r="B12" s="20"/>
      <c r="C12" s="20"/>
      <c r="D12" s="1"/>
    </row>
    <row r="13" spans="1:4" x14ac:dyDescent="0.3">
      <c r="A13" s="9" t="s">
        <v>27</v>
      </c>
      <c r="B13" s="20"/>
      <c r="C13" s="20"/>
      <c r="D13" s="1"/>
    </row>
    <row r="14" spans="1:4" x14ac:dyDescent="0.3">
      <c r="A14" s="5" t="s">
        <v>28</v>
      </c>
      <c r="B14" s="19">
        <f>Bilan_Puissance!$B$9*Hypotheses!$B$16+Bilan_Puissance!$B$6</f>
        <v>18.012500000000003</v>
      </c>
      <c r="C14" s="17" t="s">
        <v>13</v>
      </c>
      <c r="D14" s="1"/>
    </row>
    <row r="15" spans="1:4" x14ac:dyDescent="0.3">
      <c r="A15" s="3" t="s">
        <v>29</v>
      </c>
      <c r="B15" s="18">
        <f>Hypotheses!$B$4-Bilan_Puissance!$B$14</f>
        <v>-15.012500000000003</v>
      </c>
      <c r="C15" s="16" t="s">
        <v>5</v>
      </c>
      <c r="D15" s="1"/>
    </row>
    <row r="16" spans="1:4" x14ac:dyDescent="0.3">
      <c r="A16" s="5" t="s">
        <v>30</v>
      </c>
      <c r="B16" s="19">
        <f>Bilan_Puissance!$B$15-Hypotheses!$B$5</f>
        <v>12.987499999999997</v>
      </c>
      <c r="C16" s="17" t="s">
        <v>13</v>
      </c>
      <c r="D16" s="1"/>
    </row>
    <row r="17" spans="1:4" x14ac:dyDescent="0.3">
      <c r="A17" s="1"/>
      <c r="B17" s="20"/>
      <c r="C17" s="20"/>
      <c r="D17" s="1"/>
    </row>
    <row r="18" spans="1:4" x14ac:dyDescent="0.3">
      <c r="A18" s="9" t="s">
        <v>31</v>
      </c>
      <c r="B18" s="20"/>
      <c r="C18" s="20"/>
      <c r="D18" s="1"/>
    </row>
    <row r="19" spans="1:4" x14ac:dyDescent="0.3">
      <c r="A19" s="2" t="s">
        <v>32</v>
      </c>
      <c r="B19" s="2" t="s">
        <v>33</v>
      </c>
      <c r="C19" s="2" t="s">
        <v>34</v>
      </c>
      <c r="D19" s="1"/>
    </row>
    <row r="20" spans="1:4" x14ac:dyDescent="0.3">
      <c r="A20" s="16">
        <v>0</v>
      </c>
      <c r="B20" s="18">
        <f>Hypotheses!$B$4-(Bilan_Puissance!$B$9*A20+Bilan_Puissance!$B$6)</f>
        <v>-1.2000000000000002</v>
      </c>
      <c r="C20" s="18">
        <f>Hypotheses!$B$5</f>
        <v>-28</v>
      </c>
      <c r="D20" s="1"/>
    </row>
    <row r="21" spans="1:4" x14ac:dyDescent="0.3">
      <c r="A21" s="17">
        <v>5</v>
      </c>
      <c r="B21" s="19">
        <f>Hypotheses!$B$4-(Bilan_Puissance!$B$9*A21+Bilan_Puissance!$B$6)</f>
        <v>-2.2625000000000002</v>
      </c>
      <c r="C21" s="19">
        <f>Hypotheses!$B$5</f>
        <v>-28</v>
      </c>
      <c r="D21" s="1"/>
    </row>
    <row r="22" spans="1:4" x14ac:dyDescent="0.3">
      <c r="A22" s="16">
        <v>10</v>
      </c>
      <c r="B22" s="18">
        <f>Hypotheses!$B$4-(Bilan_Puissance!$B$9*A22+Bilan_Puissance!$B$6)</f>
        <v>-3.3250000000000002</v>
      </c>
      <c r="C22" s="18">
        <f>Hypotheses!$B$5</f>
        <v>-28</v>
      </c>
      <c r="D22" s="1"/>
    </row>
    <row r="23" spans="1:4" x14ac:dyDescent="0.3">
      <c r="A23" s="17">
        <v>15</v>
      </c>
      <c r="B23" s="19">
        <f>Hypotheses!$B$4-(Bilan_Puissance!$B$9*A23+Bilan_Puissance!$B$6)</f>
        <v>-4.3875000000000011</v>
      </c>
      <c r="C23" s="19">
        <f>Hypotheses!$B$5</f>
        <v>-28</v>
      </c>
      <c r="D23" s="1"/>
    </row>
    <row r="24" spans="1:4" x14ac:dyDescent="0.3">
      <c r="A24" s="16">
        <v>20</v>
      </c>
      <c r="B24" s="18">
        <f>Hypotheses!$B$4-(Bilan_Puissance!$B$9*A24+Bilan_Puissance!$B$6)</f>
        <v>-5.4499999999999993</v>
      </c>
      <c r="C24" s="18">
        <f>Hypotheses!$B$5</f>
        <v>-28</v>
      </c>
      <c r="D24" s="1"/>
    </row>
    <row r="25" spans="1:4" x14ac:dyDescent="0.3">
      <c r="A25" s="17">
        <v>25</v>
      </c>
      <c r="B25" s="19">
        <f>Hypotheses!$B$4-(Bilan_Puissance!$B$9*A25+Bilan_Puissance!$B$6)</f>
        <v>-6.5125000000000011</v>
      </c>
      <c r="C25" s="19">
        <f>Hypotheses!$B$5</f>
        <v>-28</v>
      </c>
      <c r="D25" s="1"/>
    </row>
    <row r="26" spans="1:4" x14ac:dyDescent="0.3">
      <c r="A26" s="16">
        <v>30</v>
      </c>
      <c r="B26" s="18">
        <f>Hypotheses!$B$4-(Bilan_Puissance!$B$9*A26+Bilan_Puissance!$B$6)</f>
        <v>-7.5750000000000011</v>
      </c>
      <c r="C26" s="18">
        <f>Hypotheses!$B$5</f>
        <v>-28</v>
      </c>
      <c r="D26" s="1"/>
    </row>
    <row r="27" spans="1:4" x14ac:dyDescent="0.3">
      <c r="A27" s="17">
        <v>35</v>
      </c>
      <c r="B27" s="19">
        <f>Hypotheses!$B$4-(Bilan_Puissance!$B$9*A27+Bilan_Puissance!$B$6)</f>
        <v>-8.6375000000000011</v>
      </c>
      <c r="C27" s="19">
        <f>Hypotheses!$B$5</f>
        <v>-28</v>
      </c>
      <c r="D27" s="1"/>
    </row>
    <row r="28" spans="1:4" x14ac:dyDescent="0.3">
      <c r="A28" s="16">
        <v>40</v>
      </c>
      <c r="B28" s="18">
        <f>Hypotheses!$B$4-(Bilan_Puissance!$B$9*A28+Bilan_Puissance!$B$6)</f>
        <v>-9.6999999999999993</v>
      </c>
      <c r="C28" s="18">
        <f>Hypotheses!$B$5</f>
        <v>-28</v>
      </c>
      <c r="D28" s="1"/>
    </row>
    <row r="29" spans="1:4" x14ac:dyDescent="0.3">
      <c r="A29" s="17">
        <v>45</v>
      </c>
      <c r="B29" s="19">
        <f>Hypotheses!$B$4-(Bilan_Puissance!$B$9*A29+Bilan_Puissance!$B$6)</f>
        <v>-10.762500000000003</v>
      </c>
      <c r="C29" s="19">
        <f>Hypotheses!$B$5</f>
        <v>-28</v>
      </c>
      <c r="D29" s="1"/>
    </row>
    <row r="30" spans="1:4" x14ac:dyDescent="0.3">
      <c r="A30" s="16">
        <v>50</v>
      </c>
      <c r="B30" s="18">
        <f>Hypotheses!$B$4-(Bilan_Puissance!$B$9*A30+Bilan_Puissance!$B$6)</f>
        <v>-11.825000000000003</v>
      </c>
      <c r="C30" s="18">
        <f>Hypotheses!$B$5</f>
        <v>-28</v>
      </c>
      <c r="D30" s="1"/>
    </row>
    <row r="31" spans="1:4" x14ac:dyDescent="0.3">
      <c r="A31" s="17">
        <v>55</v>
      </c>
      <c r="B31" s="19">
        <f>Hypotheses!$B$4-(Bilan_Puissance!$B$9*A31+Bilan_Puissance!$B$6)</f>
        <v>-12.887500000000003</v>
      </c>
      <c r="C31" s="19">
        <f>Hypotheses!$B$5</f>
        <v>-28</v>
      </c>
      <c r="D31" s="1"/>
    </row>
    <row r="32" spans="1:4" x14ac:dyDescent="0.3">
      <c r="A32" s="16">
        <v>60</v>
      </c>
      <c r="B32" s="18">
        <f>Hypotheses!$B$4-(Bilan_Puissance!$B$9*A32+Bilan_Puissance!$B$6)</f>
        <v>-13.950000000000003</v>
      </c>
      <c r="C32" s="18">
        <f>Hypotheses!$B$5</f>
        <v>-28</v>
      </c>
      <c r="D32" s="1"/>
    </row>
    <row r="33" spans="1:4" x14ac:dyDescent="0.3">
      <c r="A33" s="17">
        <v>65</v>
      </c>
      <c r="B33" s="19">
        <f>Hypotheses!$B$4-(Bilan_Puissance!$B$9*A33+Bilan_Puissance!$B$6)</f>
        <v>-15.012500000000003</v>
      </c>
      <c r="C33" s="19">
        <f>Hypotheses!$B$5</f>
        <v>-28</v>
      </c>
      <c r="D33" s="1"/>
    </row>
    <row r="34" spans="1:4" x14ac:dyDescent="0.3">
      <c r="A34" s="16">
        <v>70</v>
      </c>
      <c r="B34" s="18">
        <f>Hypotheses!$B$4-(Bilan_Puissance!$B$9*A34+Bilan_Puissance!$B$6)</f>
        <v>-16.075000000000003</v>
      </c>
      <c r="C34" s="18">
        <f>Hypotheses!$B$5</f>
        <v>-28</v>
      </c>
      <c r="D34" s="1"/>
    </row>
    <row r="35" spans="1:4" x14ac:dyDescent="0.3">
      <c r="A35" s="17">
        <v>75</v>
      </c>
      <c r="B35" s="19">
        <f>Hypotheses!$B$4-(Bilan_Puissance!$B$9*A35+Bilan_Puissance!$B$6)</f>
        <v>-17.137500000000003</v>
      </c>
      <c r="C35" s="19">
        <f>Hypotheses!$B$5</f>
        <v>-28</v>
      </c>
      <c r="D35" s="1"/>
    </row>
    <row r="36" spans="1:4" x14ac:dyDescent="0.3">
      <c r="A36" s="16">
        <v>80</v>
      </c>
      <c r="B36" s="18">
        <f>Hypotheses!$B$4-(Bilan_Puissance!$B$9*A36+Bilan_Puissance!$B$6)</f>
        <v>-18.2</v>
      </c>
      <c r="C36" s="18">
        <f>Hypotheses!$B$5</f>
        <v>-28</v>
      </c>
      <c r="D36" s="1"/>
    </row>
    <row r="37" spans="1:4" x14ac:dyDescent="0.3">
      <c r="A37" s="17">
        <v>85</v>
      </c>
      <c r="B37" s="19">
        <f>Hypotheses!$B$4-(Bilan_Puissance!$B$9*A37+Bilan_Puissance!$B$6)</f>
        <v>-19.262500000000003</v>
      </c>
      <c r="C37" s="19">
        <f>Hypotheses!$B$5</f>
        <v>-28</v>
      </c>
      <c r="D37" s="1"/>
    </row>
    <row r="38" spans="1:4" x14ac:dyDescent="0.3">
      <c r="A38" s="16">
        <v>90</v>
      </c>
      <c r="B38" s="18">
        <f>Hypotheses!$B$4-(Bilan_Puissance!$B$9*A38+Bilan_Puissance!$B$6)</f>
        <v>-20.325000000000003</v>
      </c>
      <c r="C38" s="18">
        <f>Hypotheses!$B$5</f>
        <v>-28</v>
      </c>
      <c r="D38" s="1"/>
    </row>
    <row r="39" spans="1:4" x14ac:dyDescent="0.3">
      <c r="A39" s="17">
        <v>95</v>
      </c>
      <c r="B39" s="19">
        <f>Hypotheses!$B$4-(Bilan_Puissance!$B$9*A39+Bilan_Puissance!$B$6)</f>
        <v>-21.387500000000003</v>
      </c>
      <c r="C39" s="19">
        <f>Hypotheses!$B$5</f>
        <v>-28</v>
      </c>
      <c r="D39" s="1"/>
    </row>
    <row r="40" spans="1:4" x14ac:dyDescent="0.3">
      <c r="A40" s="16">
        <v>100</v>
      </c>
      <c r="B40" s="18">
        <f>Hypotheses!$B$4-(Bilan_Puissance!$B$9*A40+Bilan_Puissance!$B$6)</f>
        <v>-22.450000000000003</v>
      </c>
      <c r="C40" s="18">
        <f>Hypotheses!$B$5</f>
        <v>-28</v>
      </c>
      <c r="D40" s="1"/>
    </row>
    <row r="41" spans="1:4" x14ac:dyDescent="0.3">
      <c r="A41" s="17">
        <v>105</v>
      </c>
      <c r="B41" s="19">
        <f>Hypotheses!$B$4-(Bilan_Puissance!$B$9*A41+Bilan_Puissance!$B$6)</f>
        <v>-23.512500000000003</v>
      </c>
      <c r="C41" s="19">
        <f>Hypotheses!$B$5</f>
        <v>-28</v>
      </c>
      <c r="D41" s="1"/>
    </row>
    <row r="42" spans="1:4" x14ac:dyDescent="0.3">
      <c r="A42" s="16">
        <v>110</v>
      </c>
      <c r="B42" s="18">
        <f>Hypotheses!$B$4-(Bilan_Puissance!$B$9*A42+Bilan_Puissance!$B$6)</f>
        <v>-24.575000000000003</v>
      </c>
      <c r="C42" s="18">
        <f>Hypotheses!$B$5</f>
        <v>-28</v>
      </c>
      <c r="D42" s="1"/>
    </row>
    <row r="43" spans="1:4" x14ac:dyDescent="0.3">
      <c r="A43" s="17">
        <v>115</v>
      </c>
      <c r="B43" s="19">
        <f>Hypotheses!$B$4-(Bilan_Puissance!$B$9*A43+Bilan_Puissance!$B$6)</f>
        <v>-25.637500000000003</v>
      </c>
      <c r="C43" s="19">
        <f>Hypotheses!$B$5</f>
        <v>-28</v>
      </c>
      <c r="D43" s="1"/>
    </row>
    <row r="44" spans="1:4" x14ac:dyDescent="0.3">
      <c r="A44" s="16">
        <v>120</v>
      </c>
      <c r="B44" s="18">
        <f>Hypotheses!$B$4-(Bilan_Puissance!$B$9*A44+Bilan_Puissance!$B$6)</f>
        <v>-26.700000000000003</v>
      </c>
      <c r="C44" s="18">
        <f>Hypotheses!$B$5</f>
        <v>-28</v>
      </c>
      <c r="D44" s="1"/>
    </row>
    <row r="45" spans="1:4" x14ac:dyDescent="0.3">
      <c r="A45" s="17">
        <v>125</v>
      </c>
      <c r="B45" s="19">
        <f>Hypotheses!$B$4-(Bilan_Puissance!$B$9*A45+Bilan_Puissance!$B$6)</f>
        <v>-27.762500000000003</v>
      </c>
      <c r="C45" s="19">
        <f>Hypotheses!$B$5</f>
        <v>-28</v>
      </c>
      <c r="D45" s="1"/>
    </row>
    <row r="46" spans="1:4" x14ac:dyDescent="0.3">
      <c r="A46" s="16">
        <v>130</v>
      </c>
      <c r="B46" s="18">
        <f>Hypotheses!$B$4-(Bilan_Puissance!$B$9*A46+Bilan_Puissance!$B$6)</f>
        <v>-28.825000000000003</v>
      </c>
      <c r="C46" s="18">
        <f>Hypotheses!$B$5</f>
        <v>-28</v>
      </c>
      <c r="D46" s="1"/>
    </row>
    <row r="47" spans="1:4" x14ac:dyDescent="0.3">
      <c r="A47" s="17">
        <v>135</v>
      </c>
      <c r="B47" s="19">
        <f>Hypotheses!$B$4-(Bilan_Puissance!$B$9*A47+Bilan_Puissance!$B$6)</f>
        <v>-29.887500000000003</v>
      </c>
      <c r="C47" s="19">
        <f>Hypotheses!$B$5</f>
        <v>-28</v>
      </c>
      <c r="D47" s="1"/>
    </row>
    <row r="48" spans="1:4" x14ac:dyDescent="0.3">
      <c r="A48" s="16">
        <v>140</v>
      </c>
      <c r="B48" s="18">
        <f>Hypotheses!$B$4-(Bilan_Puissance!$B$9*A48+Bilan_Puissance!$B$6)</f>
        <v>-30.950000000000003</v>
      </c>
      <c r="C48" s="18">
        <f>Hypotheses!$B$5</f>
        <v>-28</v>
      </c>
      <c r="D48" s="1"/>
    </row>
    <row r="49" spans="1:4" x14ac:dyDescent="0.3">
      <c r="A49" s="17">
        <v>145</v>
      </c>
      <c r="B49" s="19">
        <f>Hypotheses!$B$4-(Bilan_Puissance!$B$9*A49+Bilan_Puissance!$B$6)</f>
        <v>-32.012500000000003</v>
      </c>
      <c r="C49" s="19">
        <f>Hypotheses!$B$5</f>
        <v>-28</v>
      </c>
      <c r="D49" s="1"/>
    </row>
    <row r="50" spans="1:4" x14ac:dyDescent="0.3">
      <c r="A50" s="16">
        <v>150</v>
      </c>
      <c r="B50" s="18">
        <f>Hypotheses!$B$4-(Bilan_Puissance!$B$9*A50+Bilan_Puissance!$B$6)</f>
        <v>-33.075000000000003</v>
      </c>
      <c r="C50" s="18">
        <f>Hypotheses!$B$5</f>
        <v>-28</v>
      </c>
      <c r="D50" s="1"/>
    </row>
    <row r="51" spans="1:4" x14ac:dyDescent="0.3">
      <c r="A51" s="17">
        <v>155</v>
      </c>
      <c r="B51" s="19">
        <f>Hypotheses!$B$4-(Bilan_Puissance!$B$9*A51+Bilan_Puissance!$B$6)</f>
        <v>-34.137500000000003</v>
      </c>
      <c r="C51" s="19">
        <f>Hypotheses!$B$5</f>
        <v>-28</v>
      </c>
      <c r="D51" s="1"/>
    </row>
    <row r="52" spans="1:4" x14ac:dyDescent="0.3">
      <c r="A52" s="16">
        <v>160</v>
      </c>
      <c r="B52" s="18">
        <f>Hypotheses!$B$4-(Bilan_Puissance!$B$9*A52+Bilan_Puissance!$B$6)</f>
        <v>-35.200000000000003</v>
      </c>
      <c r="C52" s="18">
        <f>Hypotheses!$B$5</f>
        <v>-28</v>
      </c>
      <c r="D52" s="1"/>
    </row>
    <row r="53" spans="1:4" x14ac:dyDescent="0.3">
      <c r="B53" s="21"/>
      <c r="C53" s="2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zoomScaleNormal="100" workbookViewId="0">
      <selection activeCell="A18" sqref="A18"/>
    </sheetView>
  </sheetViews>
  <sheetFormatPr baseColWidth="10" defaultColWidth="8.6640625" defaultRowHeight="14.4" x14ac:dyDescent="0.3"/>
  <cols>
    <col min="1" max="1" width="67.88671875" customWidth="1"/>
    <col min="2" max="3" width="14" customWidth="1"/>
  </cols>
  <sheetData>
    <row r="1" spans="1:4" ht="17.399999999999999" x14ac:dyDescent="0.3">
      <c r="A1" s="24" t="s">
        <v>35</v>
      </c>
      <c r="B1" s="24"/>
      <c r="C1" s="24"/>
      <c r="D1" s="24"/>
    </row>
    <row r="2" spans="1:4" x14ac:dyDescent="0.3">
      <c r="A2" s="1"/>
      <c r="B2" s="1"/>
      <c r="C2" s="1"/>
      <c r="D2" s="1"/>
    </row>
    <row r="3" spans="1:4" x14ac:dyDescent="0.3">
      <c r="A3" s="2" t="s">
        <v>24</v>
      </c>
      <c r="B3" s="2" t="s">
        <v>2</v>
      </c>
      <c r="C3" s="2" t="s">
        <v>3</v>
      </c>
      <c r="D3" s="1" t="s">
        <v>36</v>
      </c>
    </row>
    <row r="4" spans="1:4" x14ac:dyDescent="0.3">
      <c r="A4" s="15" t="s">
        <v>98</v>
      </c>
      <c r="B4" s="8">
        <f>1000/Hypotheses!$B$14</f>
        <v>100</v>
      </c>
      <c r="C4" s="5" t="s">
        <v>37</v>
      </c>
      <c r="D4" s="1"/>
    </row>
    <row r="5" spans="1:4" x14ac:dyDescent="0.3">
      <c r="A5" s="14" t="s">
        <v>99</v>
      </c>
      <c r="B5" s="7">
        <f>Bilan_Dispersion!$B$4/4</f>
        <v>25</v>
      </c>
      <c r="C5" s="3" t="s">
        <v>37</v>
      </c>
      <c r="D5" s="1"/>
    </row>
    <row r="6" spans="1:4" x14ac:dyDescent="0.3">
      <c r="A6" s="15" t="s">
        <v>101</v>
      </c>
      <c r="B6" s="8">
        <f>Bilan_Dispersion!$B$5/(Hypotheses!$B$12*Hypotheses!$B$13)</f>
        <v>147.05882352941177</v>
      </c>
      <c r="C6" s="5" t="s">
        <v>15</v>
      </c>
      <c r="D6" s="1"/>
    </row>
    <row r="7" spans="1:4" x14ac:dyDescent="0.3">
      <c r="A7" s="14" t="s">
        <v>103</v>
      </c>
      <c r="B7" s="7">
        <f>Bilan_Dispersion!$B$4/10</f>
        <v>10</v>
      </c>
      <c r="C7" s="3" t="s">
        <v>37</v>
      </c>
      <c r="D7" s="1"/>
    </row>
    <row r="8" spans="1:4" x14ac:dyDescent="0.3">
      <c r="A8" s="15" t="s">
        <v>104</v>
      </c>
      <c r="B8" s="8">
        <f>(Bilan_Dispersion!$B$7/Hypotheses!$B$15)^2</f>
        <v>40000</v>
      </c>
      <c r="C8" s="5" t="s">
        <v>15</v>
      </c>
      <c r="D8" s="1"/>
    </row>
    <row r="9" spans="1:4" x14ac:dyDescent="0.3">
      <c r="A9" s="1"/>
      <c r="B9" s="1"/>
      <c r="C9" s="1"/>
      <c r="D9" s="1"/>
    </row>
    <row r="10" spans="1:4" x14ac:dyDescent="0.3">
      <c r="A10" s="9" t="s">
        <v>27</v>
      </c>
      <c r="B10" s="1"/>
      <c r="C10" s="1"/>
      <c r="D10" s="1"/>
    </row>
    <row r="11" spans="1:4" x14ac:dyDescent="0.3">
      <c r="A11" s="15" t="s">
        <v>38</v>
      </c>
      <c r="B11" s="8">
        <f>Hypotheses!$B$12*Hypotheses!$B$16*Hypotheses!$B$13</f>
        <v>11.05</v>
      </c>
      <c r="C11" s="5" t="s">
        <v>37</v>
      </c>
      <c r="D11" s="1"/>
    </row>
    <row r="12" spans="1:4" x14ac:dyDescent="0.3">
      <c r="A12" s="3" t="s">
        <v>39</v>
      </c>
      <c r="B12" s="7">
        <f>Hypotheses!$B$15*SQRT(Hypotheses!$B$16)</f>
        <v>0.40311288741492746</v>
      </c>
      <c r="C12" s="3" t="s">
        <v>37</v>
      </c>
      <c r="D12" s="1"/>
    </row>
    <row r="13" spans="1:4" x14ac:dyDescent="0.3">
      <c r="A13" s="15" t="s">
        <v>106</v>
      </c>
      <c r="B13" s="5" t="str">
        <f>IF(Bilan_Dispersion!$B$11&lt;=Bilan_Dispersion!$B$5,"OUI","NON")</f>
        <v>OUI</v>
      </c>
      <c r="C13" s="5" t="s">
        <v>11</v>
      </c>
      <c r="D13" s="1"/>
    </row>
    <row r="14" spans="1:4" x14ac:dyDescent="0.3">
      <c r="A14" s="3" t="s">
        <v>40</v>
      </c>
      <c r="B14" s="3" t="str">
        <f>IF(Bilan_Dispersion!$B$12&lt;=Bilan_Dispersion!$B$7,"OUI","NON")</f>
        <v>OUI</v>
      </c>
      <c r="C14" s="3" t="s">
        <v>11</v>
      </c>
      <c r="D14" s="1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zoomScaleNormal="100" workbookViewId="0">
      <selection activeCell="C17" sqref="C17"/>
    </sheetView>
  </sheetViews>
  <sheetFormatPr baseColWidth="10" defaultColWidth="8.6640625" defaultRowHeight="14.4" x14ac:dyDescent="0.3"/>
  <cols>
    <col min="1" max="1" width="50.5546875" customWidth="1"/>
    <col min="2" max="2" width="27.77734375" customWidth="1"/>
    <col min="3" max="3" width="43.33203125" customWidth="1"/>
  </cols>
  <sheetData>
    <row r="1" spans="1:4" ht="17.399999999999999" x14ac:dyDescent="0.3">
      <c r="A1" s="24" t="s">
        <v>41</v>
      </c>
      <c r="B1" s="24"/>
      <c r="C1" s="24"/>
    </row>
    <row r="2" spans="1:4" x14ac:dyDescent="0.3">
      <c r="A2" s="1"/>
      <c r="B2" s="1"/>
      <c r="C2" s="1"/>
    </row>
    <row r="3" spans="1:4" x14ac:dyDescent="0.3">
      <c r="A3" s="2" t="s">
        <v>42</v>
      </c>
      <c r="B3" s="2" t="s">
        <v>43</v>
      </c>
      <c r="C3" s="2" t="s">
        <v>44</v>
      </c>
      <c r="D3" s="21"/>
    </row>
    <row r="4" spans="1:4" x14ac:dyDescent="0.3">
      <c r="A4" s="5" t="s">
        <v>45</v>
      </c>
      <c r="B4" s="19">
        <f>Bilan_Puissance!$B$10</f>
        <v>126.11764705882352</v>
      </c>
      <c r="C4" s="17" t="str">
        <f>IF(B4=MIN($B$4:$B$6),"OUI - contrainte principale","Non")</f>
        <v>OUI - contrainte principale</v>
      </c>
      <c r="D4" s="21"/>
    </row>
    <row r="5" spans="1:4" x14ac:dyDescent="0.3">
      <c r="A5" s="3" t="s">
        <v>46</v>
      </c>
      <c r="B5" s="18">
        <f>Bilan_Dispersion!$B$6</f>
        <v>147.05882352941177</v>
      </c>
      <c r="C5" s="16" t="str">
        <f>IF(B5=MIN($B$4:$B$6),"OUI - contrainte principale","Non")</f>
        <v>Non</v>
      </c>
      <c r="D5" s="21"/>
    </row>
    <row r="6" spans="1:4" x14ac:dyDescent="0.3">
      <c r="A6" s="5" t="s">
        <v>47</v>
      </c>
      <c r="B6" s="19">
        <f>Bilan_Dispersion!$B$8</f>
        <v>40000</v>
      </c>
      <c r="C6" s="17" t="str">
        <f>IF(B6=MIN($B$4:$B$6),"OUI - contrainte principale","Non")</f>
        <v>Non</v>
      </c>
      <c r="D6" s="21"/>
    </row>
    <row r="7" spans="1:4" x14ac:dyDescent="0.3">
      <c r="A7" s="1"/>
      <c r="B7" s="20"/>
      <c r="C7" s="20"/>
      <c r="D7" s="21"/>
    </row>
    <row r="8" spans="1:4" x14ac:dyDescent="0.3">
      <c r="A8" s="9" t="s">
        <v>48</v>
      </c>
      <c r="B8" s="22">
        <f>MIN(B4:B6)</f>
        <v>126.11764705882352</v>
      </c>
      <c r="C8" s="20" t="s">
        <v>15</v>
      </c>
      <c r="D8" s="21"/>
    </row>
    <row r="9" spans="1:4" x14ac:dyDescent="0.3">
      <c r="A9" s="1"/>
      <c r="B9" s="20"/>
      <c r="C9" s="20"/>
      <c r="D9" s="21"/>
    </row>
    <row r="10" spans="1:4" x14ac:dyDescent="0.3">
      <c r="A10" s="9" t="s">
        <v>49</v>
      </c>
      <c r="B10" s="20"/>
      <c r="C10" s="20"/>
      <c r="D10" s="21"/>
    </row>
    <row r="11" spans="1:4" x14ac:dyDescent="0.3">
      <c r="A11" s="5" t="s">
        <v>50</v>
      </c>
      <c r="B11" s="23">
        <f>Hypotheses!$B$16</f>
        <v>65</v>
      </c>
      <c r="C11" s="17" t="s">
        <v>15</v>
      </c>
      <c r="D11" s="21"/>
    </row>
    <row r="12" spans="1:4" x14ac:dyDescent="0.3">
      <c r="A12" s="3" t="s">
        <v>51</v>
      </c>
      <c r="B12" s="18">
        <f>B8-B11</f>
        <v>61.117647058823522</v>
      </c>
      <c r="C12" s="16" t="s">
        <v>15</v>
      </c>
      <c r="D12" s="21"/>
    </row>
    <row r="13" spans="1:4" x14ac:dyDescent="0.3">
      <c r="A13" s="5" t="s">
        <v>52</v>
      </c>
      <c r="B13" s="17" t="str">
        <f>IF(B11&lt;=B8,"OUI","NON")</f>
        <v>OUI</v>
      </c>
      <c r="C13" s="17"/>
      <c r="D13" s="21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38" customWidth="1"/>
    <col min="2" max="2" width="26" customWidth="1"/>
    <col min="3" max="6" width="14" customWidth="1"/>
  </cols>
  <sheetData>
    <row r="1" spans="1:6" ht="17.399999999999999" x14ac:dyDescent="0.3">
      <c r="A1" s="24" t="s">
        <v>53</v>
      </c>
      <c r="B1" s="24"/>
      <c r="C1" s="24"/>
      <c r="D1" s="24"/>
      <c r="E1" s="24"/>
      <c r="F1" s="24"/>
    </row>
    <row r="2" spans="1:6" x14ac:dyDescent="0.3">
      <c r="A2" s="26" t="s">
        <v>54</v>
      </c>
      <c r="B2" s="26"/>
      <c r="C2" s="26"/>
      <c r="D2" s="26"/>
      <c r="E2" s="26"/>
      <c r="F2" s="26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" t="s">
        <v>55</v>
      </c>
      <c r="B4" s="2" t="s">
        <v>2</v>
      </c>
      <c r="C4" s="2" t="s">
        <v>56</v>
      </c>
      <c r="D4" s="2" t="s">
        <v>57</v>
      </c>
      <c r="E4" s="2" t="s">
        <v>58</v>
      </c>
      <c r="F4" s="2" t="s">
        <v>59</v>
      </c>
    </row>
    <row r="5" spans="1:6" x14ac:dyDescent="0.3">
      <c r="A5" s="3" t="s">
        <v>60</v>
      </c>
      <c r="B5" s="3" t="s">
        <v>61</v>
      </c>
      <c r="C5" s="10">
        <v>0.2</v>
      </c>
      <c r="D5" s="10">
        <v>17</v>
      </c>
      <c r="E5" s="11">
        <f>((Hypotheses!$B$4-Hypotheses!$B$5)-(Hypotheses!$B$7*Hypotheses!$B$8+Hypotheses!$B$9))/(C5+(Hypotheses!$B$10/Hypotheses!$B$11))</f>
        <v>126.11764705882352</v>
      </c>
      <c r="F5" s="11">
        <f>((1000/Hypotheses!$B$14)/4)/(D5*Hypotheses!$B$13)</f>
        <v>147.05882352941177</v>
      </c>
    </row>
    <row r="6" spans="1:6" x14ac:dyDescent="0.3">
      <c r="A6" s="5" t="s">
        <v>62</v>
      </c>
      <c r="B6" s="5" t="s">
        <v>63</v>
      </c>
      <c r="C6" s="12">
        <v>0.2</v>
      </c>
      <c r="D6" s="12">
        <v>4</v>
      </c>
      <c r="E6" s="13">
        <f>((Hypotheses!$B$4-Hypotheses!$B$5)-(Hypotheses!$B$7*Hypotheses!$B$8+Hypotheses!$B$9))/(C6+(Hypotheses!$B$10/Hypotheses!$B$11))</f>
        <v>126.11764705882352</v>
      </c>
      <c r="F6" s="13">
        <f>((1000/Hypotheses!$B$14)/4)/(D6*Hypotheses!$B$13)</f>
        <v>625</v>
      </c>
    </row>
    <row r="7" spans="1:6" x14ac:dyDescent="0.3">
      <c r="A7" s="3" t="s">
        <v>64</v>
      </c>
      <c r="B7" s="3" t="s">
        <v>65</v>
      </c>
      <c r="C7" s="10">
        <v>0.25</v>
      </c>
      <c r="D7" s="10">
        <v>17</v>
      </c>
      <c r="E7" s="11">
        <f>((Hypotheses!$B$4-Hypotheses!$B$5)-(Hypotheses!$B$7*Hypotheses!$B$8+Hypotheses!$B$9))/(C7+(Hypotheses!$B$10/Hypotheses!$B$11))</f>
        <v>102.09523809523809</v>
      </c>
      <c r="F7" s="11">
        <f>((1000/Hypotheses!$B$14)/4)/(D7*Hypotheses!$B$13)</f>
        <v>147.05882352941177</v>
      </c>
    </row>
    <row r="8" spans="1:6" x14ac:dyDescent="0.3">
      <c r="A8" s="5" t="s">
        <v>66</v>
      </c>
      <c r="B8" s="5" t="s">
        <v>67</v>
      </c>
      <c r="C8" s="12">
        <v>0.2</v>
      </c>
      <c r="D8" s="12">
        <v>17</v>
      </c>
      <c r="E8" s="13">
        <f>((Hypotheses!$B$4-Hypotheses!$B$5)-(Hypotheses!$B$7*Hypotheses!$B$8+1))/(C8+(Hypotheses!$B$10/Hypotheses!$B$11))</f>
        <v>135.52941176470588</v>
      </c>
      <c r="F8" s="13">
        <f>((1000/Hypotheses!$B$14)/4)/(D8*Hypotheses!$B$13)</f>
        <v>147.05882352941177</v>
      </c>
    </row>
    <row r="9" spans="1:6" x14ac:dyDescent="0.3">
      <c r="A9" s="3" t="s">
        <v>68</v>
      </c>
      <c r="B9" s="3" t="s">
        <v>69</v>
      </c>
      <c r="C9" s="10">
        <v>0.2</v>
      </c>
      <c r="D9" s="10">
        <v>17</v>
      </c>
      <c r="E9" s="11">
        <f>((Hypotheses!$B$4-Hypotheses!$B$5)-(Hypotheses!$B$7*Hypotheses!$B$8+5))/(C9+(Hypotheses!$B$10/Hypotheses!$B$11))</f>
        <v>116.70588235294117</v>
      </c>
      <c r="F9" s="11">
        <f>((1000/Hypotheses!$B$14)/4)/(D9*Hypotheses!$B$13)</f>
        <v>147.05882352941177</v>
      </c>
    </row>
    <row r="10" spans="1:6" x14ac:dyDescent="0.3">
      <c r="A10" s="5" t="s">
        <v>70</v>
      </c>
      <c r="B10" s="5" t="s">
        <v>71</v>
      </c>
      <c r="C10" s="12">
        <v>0.2</v>
      </c>
      <c r="D10" s="12">
        <v>17</v>
      </c>
      <c r="E10" s="13">
        <f>((Hypotheses!$B$4-Hypotheses!$B$5)-(Hypotheses!$B$7*Hypotheses!$B$8+Hypotheses!$B$9))/(C10+(Hypotheses!$B$10/Hypotheses!$B$11))</f>
        <v>126.11764705882352</v>
      </c>
      <c r="F10" s="13">
        <f>((1000/Hypotheses!$B$14)/4)/(D10*0.01)</f>
        <v>147.05882352941177</v>
      </c>
    </row>
    <row r="11" spans="1:6" x14ac:dyDescent="0.3">
      <c r="A11" s="3" t="s">
        <v>72</v>
      </c>
      <c r="B11" s="3" t="s">
        <v>73</v>
      </c>
      <c r="C11" s="10">
        <v>0.2</v>
      </c>
      <c r="D11" s="10">
        <v>17</v>
      </c>
      <c r="E11" s="11">
        <f>((Hypotheses!$B$4-Hypotheses!$B$5)-(Hypotheses!$B$7*Hypotheses!$B$8+Hypotheses!$B$9))/(C11+(Hypotheses!$B$10/Hypotheses!$B$11))</f>
        <v>126.11764705882352</v>
      </c>
      <c r="F11" s="11">
        <f>((1000/Hypotheses!$B$14)/4)/(D11*1)</f>
        <v>1.4705882352941178</v>
      </c>
    </row>
    <row r="12" spans="1:6" x14ac:dyDescent="0.3">
      <c r="A12" s="5" t="s">
        <v>74</v>
      </c>
      <c r="B12" s="5" t="s">
        <v>75</v>
      </c>
      <c r="C12" s="12">
        <v>0.2</v>
      </c>
      <c r="D12" s="12">
        <v>17</v>
      </c>
      <c r="E12" s="13">
        <f>((Hypotheses!$B$4-Hypotheses!$B$5)-(Hypotheses!$B$7*Hypotheses!$B$8+Hypotheses!$B$9))/(C12+(Hypotheses!$B$10/Hypotheses!$B$11))</f>
        <v>126.11764705882352</v>
      </c>
      <c r="F12" s="13">
        <f>((1000/Hypotheses!$B$14)/4)/(D12*2)</f>
        <v>0.73529411764705888</v>
      </c>
    </row>
    <row r="13" spans="1:6" x14ac:dyDescent="0.3">
      <c r="A13" s="3" t="s">
        <v>76</v>
      </c>
      <c r="B13" s="3" t="s">
        <v>77</v>
      </c>
      <c r="C13" s="10">
        <v>0.2</v>
      </c>
      <c r="D13" s="10">
        <v>17</v>
      </c>
      <c r="E13" s="11">
        <f>((Hypotheses!$B$4-Hypotheses!$B$5)-(Hypotheses!$B$7*Hypotheses!$B$8+Hypotheses!$B$9))/(C13+(Hypotheses!$B$10/Hypotheses!$B$11))</f>
        <v>126.11764705882352</v>
      </c>
      <c r="F13" s="11">
        <f>((1000/2.5)/4)/(D13*Hypotheses!$B$13)</f>
        <v>588.23529411764707</v>
      </c>
    </row>
    <row r="14" spans="1:6" x14ac:dyDescent="0.3">
      <c r="A14" s="5" t="s">
        <v>78</v>
      </c>
      <c r="B14" s="5" t="s">
        <v>79</v>
      </c>
      <c r="C14" s="12">
        <v>0.2</v>
      </c>
      <c r="D14" s="12">
        <v>17</v>
      </c>
      <c r="E14" s="13">
        <f>((Hypotheses!$B$4-Hypotheses!$B$5)-(Hypotheses!$B$7*Hypotheses!$B$8+Hypotheses!$B$9))/(C14+(Hypotheses!$B$10/Hypotheses!$B$11))</f>
        <v>126.11764705882352</v>
      </c>
      <c r="F14" s="13">
        <f>((1000/10)/4)/(D14*Hypotheses!$B$13)</f>
        <v>147.05882352941177</v>
      </c>
    </row>
    <row r="15" spans="1:6" x14ac:dyDescent="0.3">
      <c r="A15" s="3" t="s">
        <v>80</v>
      </c>
      <c r="B15" s="3" t="s">
        <v>81</v>
      </c>
      <c r="C15" s="10">
        <v>0.2</v>
      </c>
      <c r="D15" s="10">
        <v>17</v>
      </c>
      <c r="E15" s="11">
        <f>((Hypotheses!$B$4-Hypotheses!$B$5)-(Hypotheses!$B$7*Hypotheses!$B$8+Hypotheses!$B$9))/(C15+(Hypotheses!$B$10/Hypotheses!$B$11))</f>
        <v>126.11764705882352</v>
      </c>
      <c r="F15" s="11">
        <f>((1000/40)/4)/(D15*Hypotheses!$B$13)</f>
        <v>36.764705882352942</v>
      </c>
    </row>
    <row r="16" spans="1:6" x14ac:dyDescent="0.3">
      <c r="A16" s="1"/>
      <c r="B16" s="1"/>
      <c r="C16" s="1"/>
      <c r="D16" s="1"/>
      <c r="E16" s="1"/>
      <c r="F16" s="1"/>
    </row>
    <row r="17" spans="1:6" ht="60" customHeight="1" x14ac:dyDescent="0.3">
      <c r="A17" s="27" t="s">
        <v>82</v>
      </c>
      <c r="B17" s="27"/>
      <c r="C17" s="27"/>
      <c r="D17" s="27"/>
      <c r="E17" s="27"/>
      <c r="F17" s="27"/>
    </row>
  </sheetData>
  <mergeCells count="3">
    <mergeCell ref="A1:F1"/>
    <mergeCell ref="A2:F2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BEBDD9A31BE547890911D28C0C6B6D" ma:contentTypeVersion="11" ma:contentTypeDescription="Crée un document." ma:contentTypeScope="" ma:versionID="72d90517705ee996ded411a2d6cdfa25">
  <xsd:schema xmlns:xsd="http://www.w3.org/2001/XMLSchema" xmlns:xs="http://www.w3.org/2001/XMLSchema" xmlns:p="http://schemas.microsoft.com/office/2006/metadata/properties" xmlns:ns3="1135f6ad-68e7-4f64-a287-197aa7186004" targetNamespace="http://schemas.microsoft.com/office/2006/metadata/properties" ma:root="true" ma:fieldsID="c6f9ec1ffb08e25af5c5fc504dae3e17" ns3:_="">
    <xsd:import namespace="1135f6ad-68e7-4f64-a287-197aa71860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5f6ad-68e7-4f64-a287-197aa71860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35f6ad-68e7-4f64-a287-197aa7186004" xsi:nil="true"/>
  </documentManagement>
</p:properties>
</file>

<file path=customXml/itemProps1.xml><?xml version="1.0" encoding="utf-8"?>
<ds:datastoreItem xmlns:ds="http://schemas.openxmlformats.org/officeDocument/2006/customXml" ds:itemID="{05B82718-4D75-4FBC-B781-B394513976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35f6ad-68e7-4f64-a287-197aa71860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FC7FAE-E41D-444F-8879-0D98C97E8A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D266E-BADD-4E02-9ECD-D4D709DF8A4B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135f6ad-68e7-4f64-a287-197aa718600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Hypotheses</vt:lpstr>
      <vt:lpstr>Bilan_Puissance</vt:lpstr>
      <vt:lpstr>Bilan_Dispersion</vt:lpstr>
      <vt:lpstr>Synthese</vt:lpstr>
      <vt:lpstr>Sensibilite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Payié Mariane ELOLA</cp:lastModifiedBy>
  <cp:revision>1</cp:revision>
  <dcterms:created xsi:type="dcterms:W3CDTF">2026-06-15T21:21:10Z</dcterms:created>
  <dcterms:modified xsi:type="dcterms:W3CDTF">2026-06-16T19:30:47Z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0x01010020BEBDD9A31BE547890911D28C0C6B6D</vt:lpwstr>
  </property>
</Properties>
</file>